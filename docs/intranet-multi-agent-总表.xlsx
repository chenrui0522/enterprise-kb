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总表" sheetId="1" r:id="rId1"/>
  </sheets>
  <definedNames>
    <definedName name="_xlnm._FilterDatabase" localSheetId="0" hidden="1">总表!$A$4:$I$20</definedName>
    <definedName name="_xlnm.Print_Titles" localSheetId="0">总表!$1:$4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<sst xmlns="http://schemas.openxmlformats.org/spreadsheetml/2006/main" count="107" uniqueCount="80">
  <si>
    <t>内网多Agent平台 硬件与模型总表</t>
  </si>
  <si>
    <t>约110人全员入口 | 高峰可排队3-10秒 | 价格为2026-09国内含税参考价，非正式报价 | 一期推荐合计见表末</t>
  </si>
  <si>
    <t>阶段</t>
  </si>
  <si>
    <t>类别</t>
  </si>
  <si>
    <t>项目</t>
  </si>
  <si>
    <t>推荐配置</t>
  </si>
  <si>
    <t>数量</t>
  </si>
  <si>
    <t>参考单价(元)</t>
  </si>
  <si>
    <t>小计(元)</t>
  </si>
  <si>
    <t>单价区间(元)</t>
  </si>
  <si>
    <t>说明</t>
  </si>
  <si>
    <t>一期</t>
  </si>
  <si>
    <t>主机</t>
  </si>
  <si>
    <t>机1 业务与数据</t>
  </si>
  <si>
    <t>32核 / 128GB / NVMe 2-4TB</t>
  </si>
  <si>
    <t>4.5万-8.5万</t>
  </si>
  <si>
    <t>API、Worker、Postgres、Redis、Milvus、MinIO</t>
  </si>
  <si>
    <t>机2 推理主机(不含卡)</t>
  </si>
  <si>
    <t>16-32核 / 128GB / NVMe 1-2TB / 双电</t>
  </si>
  <si>
    <t>3.5万-6.0万</t>
  </si>
  <si>
    <t>4U GPU机箱</t>
  </si>
  <si>
    <t>GPU</t>
  </si>
  <si>
    <t>卡A 检索</t>
  </si>
  <si>
    <t>NVIDIA L4 24GB</t>
  </si>
  <si>
    <t>1.8万-2.5万</t>
  </si>
  <si>
    <t>常驻检索，不跑生成</t>
  </si>
  <si>
    <t>模型</t>
  </si>
  <si>
    <t>Embedding + Reranker</t>
  </si>
  <si>
    <t>bge-m3 + bge-reranker-v2-m3，FP16</t>
  </si>
  <si>
    <t>—</t>
  </si>
  <si>
    <t>沿用现有链路，合计约4.7GB，部署在L4。优先TEI</t>
  </si>
  <si>
    <t>卡B 生成</t>
  </si>
  <si>
    <t>NVIDIA L20 48GB</t>
  </si>
  <si>
    <t>3.0万-4.5万</t>
  </si>
  <si>
    <t>单卡，不与检索/OCR混部</t>
  </si>
  <si>
    <t>主生成</t>
  </si>
  <si>
    <t>Qwen2.5-32B-Instruct（优先）或 Qwen3-32B</t>
  </si>
  <si>
    <t>INT4约16.4GB，FP8约33GB。vLLM：utilization 0.90，max-model-len 8192，max-num-seqs 8</t>
  </si>
  <si>
    <t>主生成备选</t>
  </si>
  <si>
    <t>GLM-4-32B-0414</t>
  </si>
  <si>
    <t>MIT可商用。工具调用多时再对比，不作为第一天模型</t>
  </si>
  <si>
    <t>选配</t>
  </si>
  <si>
    <t>配套</t>
  </si>
  <si>
    <t>交换机 + UPS</t>
  </si>
  <si>
    <t>千兆/万兆小交换机 + 在线式UPS</t>
  </si>
  <si>
    <t>0.8万-2.0万</t>
  </si>
  <si>
    <t>已有机房则可为0</t>
  </si>
  <si>
    <t>二期</t>
  </si>
  <si>
    <t>机3 OCR</t>
  </si>
  <si>
    <t>16核 / 64GB / 1TB</t>
  </si>
  <si>
    <t>2.5万-4.0万</t>
  </si>
  <si>
    <t>扫描件入库堆积后再买</t>
  </si>
  <si>
    <t>GPU+模型</t>
  </si>
  <si>
    <t>卡C 解析</t>
  </si>
  <si>
    <t>L4 24GB + MinerU pipeline</t>
  </si>
  <si>
    <t>第一年不上VLM后端，避免和问答抢卡</t>
  </si>
  <si>
    <t>约定</t>
  </si>
  <si>
    <t>体验</t>
  </si>
  <si>
    <t>高峰排队</t>
  </si>
  <si>
    <t>接受约3-10秒</t>
  </si>
  <si>
    <t>每问约2-4次本地LLM；前端显示前方等待。不上第二张生成卡</t>
  </si>
  <si>
    <t>规模</t>
  </si>
  <si>
    <t>使用场景</t>
  </si>
  <si>
    <t>约110人，全员日常入口</t>
  </si>
  <si>
    <t>同时在线按25-45人估计</t>
  </si>
  <si>
    <t>合计</t>
  </si>
  <si>
    <t>一期硬件</t>
  </si>
  <si>
    <t>机1+机2主机+L4+L20</t>
  </si>
  <si>
    <t/>
  </si>
  <si>
    <t>12.8万-21.5万</t>
  </si>
  <si>
    <t>不含选配、不含二期</t>
  </si>
  <si>
    <t>一期含选配</t>
  </si>
  <si>
    <t>上一行 + 交换机/UPS</t>
  </si>
  <si>
    <t>已有机房可减去选配</t>
  </si>
  <si>
    <t>一期+二期</t>
  </si>
  <si>
    <t>再加机3与OCR卡</t>
  </si>
  <si>
    <t>OCR按需，不进第一笔采购</t>
  </si>
  <si>
    <t>推荐方案3年TCO</t>
  </si>
  <si>
    <t>一期含选配 + 3年电费约1.5万</t>
  </si>
  <si>
    <t>电价按1元/度、GPU平均负载约30%。不含人力与品牌维保上浮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</si>
</sst>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color rgb="FF1F4E79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3" fontId="3" fillId="3" borderId="1" xfId="0" applyNumberFormat="1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0"/>
  <sheetViews>
    <sheetView tabSelected="1" workbookViewId="0">
      <pane ySplit="4" topLeftCell="A9" activePane="bottomLeft" state="frozen"/>
      <selection/>
      <selection pane="bottomLeft" activeCell="A1" sqref="A1:I1"/>
    </sheetView>
  </sheetViews>
  <sheetFormatPr defaultColWidth="9" defaultRowHeight="13.5"/>
  <cols>
    <col min="1" max="1" width="10" customWidth="1"/>
    <col min="2" max="2" width="12" customWidth="1"/>
    <col min="3" max="3" width="22" customWidth="1"/>
    <col min="4" max="4" width="48" customWidth="1"/>
    <col min="5" max="5" width="10" customWidth="1"/>
    <col min="6" max="6" width="16" customWidth="1"/>
    <col min="7" max="7" width="14" customWidth="1"/>
    <col min="8" max="8" width="16" customWidth="1"/>
    <col min="9" max="9" width="62" customWidth="1"/>
  </cols>
  <sheetData>
    <row r="1" ht="18.75" spans="1:1">
      <c r="A1" s="1" t="s">
        <v>0</v>
      </c>
    </row>
    <row r="2" spans="1:1">
      <c r="A2" t="s">
        <v>1</v>
      </c>
    </row>
    <row r="4" spans="1:9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</row>
    <row r="5" ht="36" customHeight="1" spans="1:9">
      <c r="A5" s="3" t="s">
        <v>11</v>
      </c>
      <c r="B5" s="3" t="s">
        <v>12</v>
      </c>
      <c r="C5" s="3" t="s">
        <v>13</v>
      </c>
      <c r="D5" s="3" t="s">
        <v>14</v>
      </c>
      <c r="E5" s="3">
        <v>1</v>
      </c>
      <c r="F5" s="4">
        <v>65000</v>
      </c>
      <c r="G5" s="4">
        <v>65000</v>
      </c>
      <c r="H5" s="3" t="s">
        <v>15</v>
      </c>
      <c r="I5" s="3" t="s">
        <v>16</v>
      </c>
    </row>
    <row r="6" ht="36" customHeight="1" spans="1:9">
      <c r="A6" s="3" t="s">
        <v>11</v>
      </c>
      <c r="B6" s="3" t="s">
        <v>12</v>
      </c>
      <c r="C6" s="3" t="s">
        <v>17</v>
      </c>
      <c r="D6" s="3" t="s">
        <v>18</v>
      </c>
      <c r="E6" s="3">
        <v>1</v>
      </c>
      <c r="F6" s="4">
        <v>45000</v>
      </c>
      <c r="G6" s="4">
        <v>45000</v>
      </c>
      <c r="H6" s="3" t="s">
        <v>19</v>
      </c>
      <c r="I6" s="3" t="s">
        <v>20</v>
      </c>
    </row>
    <row r="7" ht="36" customHeight="1" spans="1:9">
      <c r="A7" s="3" t="s">
        <v>11</v>
      </c>
      <c r="B7" s="3" t="s">
        <v>21</v>
      </c>
      <c r="C7" s="3" t="s">
        <v>22</v>
      </c>
      <c r="D7" s="3" t="s">
        <v>23</v>
      </c>
      <c r="E7" s="3">
        <v>1</v>
      </c>
      <c r="F7" s="4">
        <v>21000</v>
      </c>
      <c r="G7" s="4">
        <v>21000</v>
      </c>
      <c r="H7" s="3" t="s">
        <v>24</v>
      </c>
      <c r="I7" s="3" t="s">
        <v>25</v>
      </c>
    </row>
    <row r="8" ht="36" customHeight="1" spans="1:9">
      <c r="A8" s="3" t="s">
        <v>11</v>
      </c>
      <c r="B8" s="3" t="s">
        <v>26</v>
      </c>
      <c r="C8" s="3" t="s">
        <v>27</v>
      </c>
      <c r="D8" s="3" t="s">
        <v>28</v>
      </c>
      <c r="E8" s="3">
        <v>1</v>
      </c>
      <c r="F8" s="3"/>
      <c r="G8" s="3"/>
      <c r="H8" s="3" t="s">
        <v>29</v>
      </c>
      <c r="I8" s="3" t="s">
        <v>30</v>
      </c>
    </row>
    <row r="9" ht="36" customHeight="1" spans="1:9">
      <c r="A9" s="3" t="s">
        <v>11</v>
      </c>
      <c r="B9" s="3" t="s">
        <v>21</v>
      </c>
      <c r="C9" s="3" t="s">
        <v>31</v>
      </c>
      <c r="D9" s="3" t="s">
        <v>32</v>
      </c>
      <c r="E9" s="3">
        <v>1</v>
      </c>
      <c r="F9" s="4">
        <v>38000</v>
      </c>
      <c r="G9" s="4">
        <v>38000</v>
      </c>
      <c r="H9" s="3" t="s">
        <v>33</v>
      </c>
      <c r="I9" s="3" t="s">
        <v>34</v>
      </c>
    </row>
    <row r="10" ht="36" customHeight="1" spans="1:9">
      <c r="A10" s="3" t="s">
        <v>11</v>
      </c>
      <c r="B10" s="3" t="s">
        <v>26</v>
      </c>
      <c r="C10" s="3" t="s">
        <v>35</v>
      </c>
      <c r="D10" s="3" t="s">
        <v>36</v>
      </c>
      <c r="E10" s="3">
        <v>1</v>
      </c>
      <c r="F10" s="3"/>
      <c r="G10" s="3"/>
      <c r="H10" s="3" t="s">
        <v>29</v>
      </c>
      <c r="I10" s="3" t="s">
        <v>37</v>
      </c>
    </row>
    <row r="11" ht="36" customHeight="1" spans="1:9">
      <c r="A11" s="3" t="s">
        <v>11</v>
      </c>
      <c r="B11" s="3" t="s">
        <v>26</v>
      </c>
      <c r="C11" s="3" t="s">
        <v>38</v>
      </c>
      <c r="D11" s="3" t="s">
        <v>39</v>
      </c>
      <c r="E11" s="3">
        <v>1</v>
      </c>
      <c r="F11" s="3"/>
      <c r="G11" s="3"/>
      <c r="H11" s="3" t="s">
        <v>29</v>
      </c>
      <c r="I11" s="3" t="s">
        <v>40</v>
      </c>
    </row>
    <row r="12" ht="36" customHeight="1" spans="1:9">
      <c r="A12" s="3" t="s">
        <v>41</v>
      </c>
      <c r="B12" s="3" t="s">
        <v>42</v>
      </c>
      <c r="C12" s="3" t="s">
        <v>43</v>
      </c>
      <c r="D12" s="3" t="s">
        <v>44</v>
      </c>
      <c r="E12" s="3">
        <v>1</v>
      </c>
      <c r="F12" s="4">
        <v>12000</v>
      </c>
      <c r="G12" s="4">
        <v>12000</v>
      </c>
      <c r="H12" s="3" t="s">
        <v>45</v>
      </c>
      <c r="I12" s="3" t="s">
        <v>46</v>
      </c>
    </row>
    <row r="13" ht="36" customHeight="1" spans="1:9">
      <c r="A13" s="3" t="s">
        <v>47</v>
      </c>
      <c r="B13" s="3" t="s">
        <v>12</v>
      </c>
      <c r="C13" s="3" t="s">
        <v>48</v>
      </c>
      <c r="D13" s="3" t="s">
        <v>49</v>
      </c>
      <c r="E13" s="3">
        <v>1</v>
      </c>
      <c r="F13" s="4">
        <v>32000</v>
      </c>
      <c r="G13" s="4">
        <v>32000</v>
      </c>
      <c r="H13" s="3" t="s">
        <v>50</v>
      </c>
      <c r="I13" s="3" t="s">
        <v>51</v>
      </c>
    </row>
    <row r="14" ht="36" customHeight="1" spans="1:9">
      <c r="A14" s="3" t="s">
        <v>47</v>
      </c>
      <c r="B14" s="3" t="s">
        <v>52</v>
      </c>
      <c r="C14" s="3" t="s">
        <v>53</v>
      </c>
      <c r="D14" s="3" t="s">
        <v>54</v>
      </c>
      <c r="E14" s="3">
        <v>1</v>
      </c>
      <c r="F14" s="4">
        <v>21000</v>
      </c>
      <c r="G14" s="4">
        <v>21000</v>
      </c>
      <c r="H14" s="3" t="s">
        <v>24</v>
      </c>
      <c r="I14" s="3" t="s">
        <v>55</v>
      </c>
    </row>
    <row r="15" ht="36" customHeight="1" spans="1:9">
      <c r="A15" s="3" t="s">
        <v>56</v>
      </c>
      <c r="B15" s="3" t="s">
        <v>57</v>
      </c>
      <c r="C15" s="3" t="s">
        <v>58</v>
      </c>
      <c r="D15" s="3" t="s">
        <v>59</v>
      </c>
      <c r="E15" s="3"/>
      <c r="F15" s="3"/>
      <c r="G15" s="3"/>
      <c r="H15" s="3" t="s">
        <v>29</v>
      </c>
      <c r="I15" s="3" t="s">
        <v>60</v>
      </c>
    </row>
    <row r="16" ht="36" customHeight="1" spans="1:9">
      <c r="A16" s="3" t="s">
        <v>56</v>
      </c>
      <c r="B16" s="3" t="s">
        <v>61</v>
      </c>
      <c r="C16" s="3" t="s">
        <v>62</v>
      </c>
      <c r="D16" s="3" t="s">
        <v>63</v>
      </c>
      <c r="E16" s="3"/>
      <c r="F16" s="3"/>
      <c r="G16" s="3"/>
      <c r="H16" s="3" t="s">
        <v>29</v>
      </c>
      <c r="I16" s="3" t="s">
        <v>64</v>
      </c>
    </row>
    <row r="17" ht="32" customHeight="1" spans="1:9">
      <c r="A17" s="5" t="s">
        <v>65</v>
      </c>
      <c r="B17" s="5" t="s">
        <v>66</v>
      </c>
      <c r="C17" s="5" t="s">
        <v>67</v>
      </c>
      <c r="D17" s="5" t="s">
        <v>68</v>
      </c>
      <c r="E17" s="5"/>
      <c r="F17" s="5"/>
      <c r="G17" s="6">
        <f>G5+G6+G7+G9</f>
        <v>169000</v>
      </c>
      <c r="H17" s="5" t="s">
        <v>69</v>
      </c>
      <c r="I17" s="5" t="s">
        <v>70</v>
      </c>
    </row>
    <row r="18" ht="32" customHeight="1" spans="1:9">
      <c r="A18" s="5" t="s">
        <v>65</v>
      </c>
      <c r="B18" s="5" t="s">
        <v>71</v>
      </c>
      <c r="C18" s="5" t="s">
        <v>72</v>
      </c>
      <c r="D18" s="5" t="s">
        <v>68</v>
      </c>
      <c r="E18" s="5"/>
      <c r="F18" s="5"/>
      <c r="G18" s="6">
        <f>G17+G12</f>
        <v>181000</v>
      </c>
      <c r="H18" s="5" t="s">
        <v>29</v>
      </c>
      <c r="I18" s="5" t="s">
        <v>73</v>
      </c>
    </row>
    <row r="19" ht="32" customHeight="1" spans="1:9">
      <c r="A19" s="5" t="s">
        <v>65</v>
      </c>
      <c r="B19" s="5" t="s">
        <v>74</v>
      </c>
      <c r="C19" s="5" t="s">
        <v>75</v>
      </c>
      <c r="D19" s="5" t="s">
        <v>68</v>
      </c>
      <c r="E19" s="5"/>
      <c r="F19" s="5"/>
      <c r="G19" s="6">
        <f>G18+G13+G14</f>
        <v>234000</v>
      </c>
      <c r="H19" s="5" t="s">
        <v>29</v>
      </c>
      <c r="I19" s="5" t="s">
        <v>76</v>
      </c>
    </row>
    <row r="20" ht="32" customHeight="1" spans="1:9">
      <c r="A20" s="5" t="s">
        <v>65</v>
      </c>
      <c r="B20" s="5" t="s">
        <v>77</v>
      </c>
      <c r="C20" s="5" t="s">
        <v>78</v>
      </c>
      <c r="D20" s="5" t="s">
        <v>68</v>
      </c>
      <c r="E20" s="5"/>
      <c r="F20" s="5"/>
      <c r="G20" s="6">
        <f>G18+15000</f>
        <v>196000</v>
      </c>
      <c r="H20" s="5" t="s">
        <v>29</v>
      </c>
      <c r="I20" s="5" t="s">
        <v>79</v>
      </c>
    </row>
  </sheetData>
  <autoFilter xmlns:etc="http://www.wps.cn/officeDocument/2017/etCustomData" ref="A4:I20" etc:filterBottomFollowUsedRange="0">
    <extLst/>
  </autoFilter>
  <mergeCells count="2">
    <mergeCell ref="A1:I1"/>
    <mergeCell ref="A2:I2"/>
  </mergeCells>
  <pageMargins left="0.75" right="0.75" top="1" bottom="1" header="0.5" footer="0.5"/>
  <pageSetup paperSize="1" orientation="landscape"/>
  <headerFooter>
    <oddHeader>&amp;L内网多Agent平台 硬件与模型总表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江与城</cp:lastModifiedBy>
  <dcterms:created xsi:type="dcterms:W3CDTF">2026-09-21T09:28:00Z</dcterms:created>
  <dcterms:modified xsi:type="dcterms:W3CDTF">2026-09-21T09:33:04Z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97B343CFDE7F4DF18C7A1F5736902971_12</vt:lpwstr>
  </property>
  <property fmtid="{D5CDD505-2E9C-101B-9397-08002B2CF9AE}" pid="3" name="KSOProductBuildVer">
    <vt:lpwstr>2052-12.1.0.21915</vt:lpwstr>
  </property>
</Properties>
</file>